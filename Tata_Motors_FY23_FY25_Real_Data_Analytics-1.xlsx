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Consolidated Financials" sheetId="2" state="visible" r:id="rId2"/>
    <sheet xmlns:r="http://schemas.openxmlformats.org/officeDocument/2006/relationships" name="Passenger Vehicles" sheetId="3" state="visible" r:id="rId3"/>
    <sheet xmlns:r="http://schemas.openxmlformats.org/officeDocument/2006/relationships" name="Commercial Vehicles" sheetId="4" state="visible" r:id="rId4"/>
    <sheet xmlns:r="http://schemas.openxmlformats.org/officeDocument/2006/relationships" name="JLR Analysis" sheetId="5" state="visible" r:id="rId5"/>
    <sheet xmlns:r="http://schemas.openxmlformats.org/officeDocument/2006/relationships" name="YoY Analysis" sheetId="6" state="visible" r:id="rId6"/>
    <sheet xmlns:r="http://schemas.openxmlformats.org/officeDocument/2006/relationships" name="Charts" sheetId="7" state="visible" r:id="rId7"/>
    <sheet xmlns:r="http://schemas.openxmlformats.org/officeDocument/2006/relationships" name="Source Register" sheetId="8" state="visible" r:id="rId8"/>
  </sheets>
  <definedNames>
    <definedName name="_xlnm._FilterDatabase" localSheetId="1" hidden="1">'Consolidated Financials'!$A$3:$P$6</definedName>
    <definedName name="_xlnm._FilterDatabase" localSheetId="2" hidden="1">'Passenger Vehicles'!$A$1:$L$4</definedName>
    <definedName name="_xlnm._FilterDatabase" localSheetId="3" hidden="1">'Commercial Vehicles'!$A$1:$L$4</definedName>
    <definedName name="_xlnm._FilterDatabase" localSheetId="4" hidden="1">'JLR Analysis'!$A$1:$I$4</definedName>
    <definedName name="_xlnm._FilterDatabase" localSheetId="5" hidden="1">'YoY Analysis'!$A$3:$C$10</definedName>
    <definedName name="_xlnm._FilterDatabase" localSheetId="6" hidden="1">'Charts'!$A$11:$D$14</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b val="1"/>
      <color rgb="0017324D"/>
      <sz val="16"/>
    </font>
    <font>
      <b val="1"/>
      <color rgb="00FFFFFF"/>
    </font>
    <font>
      <b val="1"/>
      <color rgb="0017324D"/>
    </font>
    <font>
      <b val="1"/>
      <color rgb="00FFFFFF"/>
      <sz val="20"/>
    </font>
    <font>
      <i val="1"/>
      <color rgb="00666666"/>
    </font>
    <font>
      <b val="1"/>
      <color rgb="0017324D"/>
      <sz val="14"/>
    </font>
  </fonts>
  <fills count="5">
    <fill>
      <patternFill/>
    </fill>
    <fill>
      <patternFill patternType="gray125"/>
    </fill>
    <fill>
      <patternFill patternType="solid">
        <fgColor rgb="0017324D"/>
      </patternFill>
    </fill>
    <fill>
      <patternFill patternType="solid">
        <fgColor rgb="00F5F7F9"/>
      </patternFill>
    </fill>
    <fill>
      <patternFill patternType="solid">
        <fgColor rgb="00F8FAFC"/>
      </patternFill>
    </fill>
  </fills>
  <borders count="8">
    <border>
      <left/>
      <right/>
      <top/>
      <bottom/>
      <diagonal/>
    </border>
    <border>
      <left style="thin">
        <color rgb="00D9E1E8"/>
      </left>
      <right style="thin">
        <color rgb="00D9E1E8"/>
      </right>
      <top style="thin">
        <color rgb="00D9E1E8"/>
      </top>
      <bottom style="thin">
        <color rgb="00D9E1E8"/>
      </bottom>
    </border>
    <border>
      <left/>
      <right/>
      <top style="thin">
        <color rgb="00D9E1E8"/>
      </top>
      <bottom/>
      <diagonal/>
    </border>
    <border>
      <left style="thin">
        <color rgb="00D9E1E8"/>
      </left>
      <right/>
      <top/>
      <bottom/>
      <diagonal/>
    </border>
    <border>
      <left/>
      <right style="thin">
        <color rgb="00D9E1E8"/>
      </right>
      <top style="thin">
        <color rgb="00D9E1E8"/>
      </top>
      <bottom/>
      <diagonal/>
    </border>
    <border>
      <left/>
      <right style="thin">
        <color rgb="00D9E1E8"/>
      </right>
      <top/>
      <bottom/>
      <diagonal/>
    </border>
    <border>
      <left style="thin">
        <color rgb="00D9E1E8"/>
      </left>
      <right/>
      <top/>
      <bottom style="thin">
        <color rgb="00D9E1E8"/>
      </bottom>
      <diagonal/>
    </border>
    <border>
      <left/>
      <right style="thin">
        <color rgb="00D9E1E8"/>
      </right>
      <top/>
      <bottom style="thin">
        <color rgb="00D9E1E8"/>
      </bottom>
      <diagonal/>
    </border>
  </borders>
  <cellStyleXfs count="1">
    <xf numFmtId="0" fontId="0" fillId="0" borderId="0"/>
  </cellStyleXfs>
  <cellXfs count="19">
    <xf numFmtId="0" fontId="0"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vertical="top" wrapText="1"/>
    </xf>
    <xf numFmtId="0" fontId="6" fillId="0"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xf numFmtId="0" fontId="2" fillId="2"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5" fillId="0" borderId="0" applyAlignment="1" pivotButton="0" quotePrefix="0" xfId="0">
      <alignmen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Consolidated Revenue (₹ Cr)</a:t>
            </a:r>
          </a:p>
        </rich>
      </tx>
    </title>
    <plotArea>
      <lineChart>
        <grouping val="standard"/>
        <ser>
          <idx val="0"/>
          <order val="0"/>
          <tx>
            <strRef>
              <f>'Consolidated Financials'!B3</f>
            </strRef>
          </tx>
          <spPr>
            <a:ln xmlns:a="http://schemas.openxmlformats.org/drawingml/2006/main">
              <a:prstDash val="solid"/>
            </a:ln>
          </spPr>
          <marker>
            <symbol val="none"/>
            <spPr>
              <a:ln xmlns:a="http://schemas.openxmlformats.org/drawingml/2006/main">
                <a:prstDash val="solid"/>
              </a:ln>
            </spPr>
          </marker>
          <cat>
            <numRef>
              <f>'Consolidated Financials'!$A$4:$A$6</f>
            </numRef>
          </cat>
          <val>
            <numRef>
              <f>'Consolidated Financials'!$B$4:$B$6</f>
            </numRef>
          </val>
        </ser>
        <axId val="10"/>
        <axId val="100"/>
      </lineChart>
      <catAx>
        <axId val="10"/>
        <scaling>
          <orientation val="minMax"/>
        </scaling>
        <axPos val="l"/>
        <title>
          <tx>
            <rich>
              <a:bodyPr xmlns:a="http://schemas.openxmlformats.org/drawingml/2006/main"/>
              <a:p xmlns:a="http://schemas.openxmlformats.org/drawingml/2006/main">
                <a:pPr>
                  <a:defRPr/>
                </a:pPr>
                <a:r>
                  <a:t>Fiscal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Cr</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EBITDA &amp; EBIT Margin</a:t>
            </a:r>
          </a:p>
        </rich>
      </tx>
    </title>
    <plotArea>
      <lineChart>
        <grouping val="standard"/>
        <ser>
          <idx val="0"/>
          <order val="0"/>
          <tx>
            <strRef>
              <f>'Consolidated Financials'!C3</f>
            </strRef>
          </tx>
          <spPr>
            <a:ln xmlns:a="http://schemas.openxmlformats.org/drawingml/2006/main">
              <a:prstDash val="solid"/>
            </a:ln>
          </spPr>
          <marker>
            <symbol val="none"/>
            <spPr>
              <a:ln xmlns:a="http://schemas.openxmlformats.org/drawingml/2006/main">
                <a:prstDash val="solid"/>
              </a:ln>
            </spPr>
          </marker>
          <cat>
            <numRef>
              <f>'Consolidated Financials'!$A$4:$A$6</f>
            </numRef>
          </cat>
          <val>
            <numRef>
              <f>'Consolidated Financials'!$C$4:$C$6</f>
            </numRef>
          </val>
        </ser>
        <ser>
          <idx val="1"/>
          <order val="1"/>
          <tx>
            <strRef>
              <f>'Consolidated Financials'!D3</f>
            </strRef>
          </tx>
          <spPr>
            <a:ln xmlns:a="http://schemas.openxmlformats.org/drawingml/2006/main">
              <a:prstDash val="solid"/>
            </a:ln>
          </spPr>
          <marker>
            <symbol val="none"/>
            <spPr>
              <a:ln xmlns:a="http://schemas.openxmlformats.org/drawingml/2006/main">
                <a:prstDash val="solid"/>
              </a:ln>
            </spPr>
          </marker>
          <cat>
            <numRef>
              <f>'Consolidated Financials'!$A$4:$A$6</f>
            </numRef>
          </cat>
          <val>
            <numRef>
              <f>'Consolidated Financials'!$D$4:$D$6</f>
            </numRef>
          </val>
        </ser>
        <axId val="10"/>
        <axId val="100"/>
      </lineChart>
      <catAx>
        <axId val="10"/>
        <scaling>
          <orientation val="minMax"/>
        </scaling>
        <axPos val="l"/>
        <title>
          <tx>
            <rich>
              <a:bodyPr xmlns:a="http://schemas.openxmlformats.org/drawingml/2006/main"/>
              <a:p xmlns:a="http://schemas.openxmlformats.org/drawingml/2006/main">
                <a:pPr>
                  <a:defRPr/>
                </a:pPr>
                <a:r>
                  <a:t>Fiscal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Segment Revenue — FY25</a:t>
            </a:r>
          </a:p>
        </rich>
      </tx>
    </title>
    <plotArea>
      <barChart>
        <barDir val="col"/>
        <grouping val="clustered"/>
        <ser>
          <idx val="0"/>
          <order val="0"/>
          <spPr>
            <a:ln xmlns:a="http://schemas.openxmlformats.org/drawingml/2006/main">
              <a:prstDash val="solid"/>
            </a:ln>
          </spPr>
          <cat>
            <numRef>
              <f>'Executive Dashboard'!$A$28:$A$30</f>
            </numRef>
          </cat>
          <val>
            <numRef>
              <f>'Executive Dashboard'!$B$28:$B$30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Segment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7</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16</row>
      <rowOff>0</rowOff>
    </from>
    <ext cx="432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16</row>
      <rowOff>0</rowOff>
    </from>
    <ext cx="432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5"/>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8" customHeight="1">
      <c r="A1" s="1" t="inlineStr">
        <is>
          <t>TATA MOTORS | BUSINESS &amp; FINANCIAL PERFORMANCE ANALYSIS</t>
        </is>
      </c>
    </row>
    <row r="2" ht="18" customHeight="1">
      <c r="A2" s="3" t="inlineStr">
        <is>
          <t>FY2023–FY2025 • Independent analysis of publicly disclosed Tata Motors data</t>
        </is>
      </c>
    </row>
    <row r="3" ht="18" customHeight="1">
      <c r="A3" s="2" t="n"/>
      <c r="B3" s="2" t="n"/>
      <c r="C3" s="2" t="n"/>
      <c r="D3" s="2" t="n"/>
      <c r="E3" s="2" t="n"/>
      <c r="F3" s="2" t="n"/>
      <c r="G3" s="2" t="n"/>
      <c r="H3" s="2" t="n"/>
      <c r="I3" s="2" t="n"/>
      <c r="J3" s="2" t="n"/>
    </row>
    <row r="4" ht="18" customHeight="1">
      <c r="A4" s="4" t="inlineStr">
        <is>
          <t>FY25 REVENUE
439,695 Cr</t>
        </is>
      </c>
      <c r="B4" s="12" t="n"/>
      <c r="C4" s="4" t="inlineStr">
        <is>
          <t>FY25 EBITDA
57,600 Cr</t>
        </is>
      </c>
      <c r="D4" s="12" t="n"/>
      <c r="E4" s="4" t="inlineStr">
        <is>
          <t>FY25 PBT (BEI)
34,330 Cr</t>
        </is>
      </c>
      <c r="F4" s="12" t="n"/>
      <c r="G4" s="4" t="inlineStr">
        <is>
          <t>FY25 NET PROFIT
28,149 Cr</t>
        </is>
      </c>
      <c r="H4" s="12" t="n"/>
      <c r="I4" s="4" t="inlineStr">
        <is>
          <t>AUTO FCF
22,348 Cr</t>
        </is>
      </c>
      <c r="J4" s="12" t="n"/>
    </row>
    <row r="5" ht="18" customHeight="1">
      <c r="A5" s="13" t="n"/>
      <c r="B5" s="14" t="n"/>
      <c r="C5" s="13" t="n"/>
      <c r="D5" s="14" t="n"/>
      <c r="E5" s="13" t="n"/>
      <c r="F5" s="14" t="n"/>
      <c r="G5" s="13" t="n"/>
      <c r="H5" s="14" t="n"/>
      <c r="I5" s="13" t="n"/>
      <c r="J5" s="14" t="n"/>
    </row>
    <row r="6" ht="18" customHeight="1">
      <c r="A6" s="15" t="n"/>
      <c r="B6" s="16" t="n"/>
      <c r="C6" s="15" t="n"/>
      <c r="D6" s="16" t="n"/>
      <c r="E6" s="15" t="n"/>
      <c r="F6" s="16" t="n"/>
      <c r="G6" s="15" t="n"/>
      <c r="H6" s="16" t="n"/>
      <c r="I6" s="15" t="n"/>
      <c r="J6" s="16" t="n"/>
    </row>
    <row r="7" ht="18" customHeight="1">
      <c r="A7" s="2" t="n"/>
      <c r="B7" s="2" t="n"/>
      <c r="C7" s="2" t="n"/>
      <c r="D7" s="2" t="n"/>
      <c r="E7" s="2" t="n"/>
      <c r="F7" s="2" t="n"/>
      <c r="G7" s="2" t="n"/>
      <c r="H7" s="2" t="n"/>
      <c r="I7" s="2" t="n"/>
      <c r="J7" s="2" t="n"/>
    </row>
    <row r="8" ht="18" customHeight="1">
      <c r="A8" s="5" t="inlineStr">
        <is>
          <t>ANALYST INSIGHTS</t>
        </is>
      </c>
      <c r="B8" s="2" t="n"/>
      <c r="C8" s="2" t="n"/>
      <c r="D8" s="2" t="n"/>
      <c r="E8" s="2" t="n"/>
      <c r="F8" s="2" t="n"/>
      <c r="G8" s="2" t="n"/>
      <c r="H8" s="2" t="n"/>
      <c r="I8" s="2" t="n"/>
      <c r="J8" s="2" t="n"/>
    </row>
    <row r="9" ht="18" customHeight="1">
      <c r="A9" s="6" t="inlineStr">
        <is>
          <t>1. Consolidated revenue rose from ₹346.0K Cr in FY23 to ₹439.7K Cr in FY25 (≈12.7% CAGR).</t>
        </is>
      </c>
      <c r="E9" s="2" t="n"/>
      <c r="F9" s="2" t="n"/>
      <c r="G9" s="2" t="n"/>
      <c r="H9" s="2" t="n"/>
      <c r="I9" s="2" t="n"/>
      <c r="J9" s="2" t="n"/>
    </row>
    <row r="10" ht="18" customHeight="1">
      <c r="A10" s="6" t="inlineStr">
        <is>
          <t>2. PBT (BEI) increased from ₹1,803 Cr in FY23 to ₹34,330 Cr in FY25.</t>
        </is>
      </c>
      <c r="E10" s="2" t="n"/>
      <c r="F10" s="2" t="n"/>
      <c r="G10" s="2" t="n"/>
      <c r="H10" s="2" t="n"/>
      <c r="I10" s="2" t="n"/>
      <c r="J10" s="2" t="n"/>
    </row>
    <row r="11" ht="18" customHeight="1">
      <c r="A11" s="6" t="inlineStr">
        <is>
          <t>3. FY25 PV revenue declined 7.5% YoY, while EBITDA margin improved to 6.9%; VAHAN share was 13.2%.</t>
        </is>
      </c>
      <c r="E11" s="2" t="n"/>
      <c r="F11" s="2" t="n"/>
      <c r="G11" s="2" t="n"/>
      <c r="H11" s="2" t="n"/>
      <c r="I11" s="2" t="n"/>
      <c r="J11" s="2" t="n"/>
    </row>
    <row r="12" ht="18" customHeight="1">
      <c r="A12" s="6" t="inlineStr">
        <is>
          <t>4. FY25 CV revenue declined 4.7% YoY, but EBITDA margin improved to 11.8% and EBIT margin to 9.1%.</t>
        </is>
      </c>
      <c r="E12" s="2" t="n"/>
      <c r="F12" s="2" t="n"/>
      <c r="G12" s="2" t="n"/>
      <c r="H12" s="2" t="n"/>
      <c r="I12" s="2" t="n"/>
      <c r="J12" s="2" t="n"/>
    </row>
    <row r="13" ht="18" customHeight="1">
      <c r="A13" s="6" t="inlineStr">
        <is>
          <t>5. JLR FY25 revenue was £29.0bn, with 8.5% EBIT margin and £1.48bn free cash flow.</t>
        </is>
      </c>
      <c r="E13" s="2" t="n"/>
      <c r="F13" s="2" t="n"/>
      <c r="G13" s="2" t="n"/>
      <c r="H13" s="2" t="n"/>
      <c r="I13" s="2" t="n"/>
      <c r="J13" s="2" t="n"/>
    </row>
    <row r="14" ht="18" customHeight="1">
      <c r="A14" s="6" t="inlineStr">
        <is>
          <t>6. Tata Motors reported net automotive cash of ₹1,018 Cr in FY25, versus net automotive debt of ₹16,022 Cr in FY24.</t>
        </is>
      </c>
      <c r="E14" s="2" t="n"/>
      <c r="F14" s="2" t="n"/>
      <c r="G14" s="2" t="n"/>
      <c r="H14" s="2" t="n"/>
      <c r="I14" s="2" t="n"/>
      <c r="J14" s="2" t="n"/>
    </row>
    <row r="15" ht="18" customHeight="1">
      <c r="A15" s="6" t="inlineStr">
        <is>
          <t>7. FY25 PV EV penetration was 11% and Tata Motors reported 55.4% EV market share; CNG penetration was 25%.</t>
        </is>
      </c>
      <c r="E15" s="2" t="n"/>
      <c r="F15" s="2" t="n"/>
      <c r="G15" s="2" t="n"/>
      <c r="H15" s="2" t="n"/>
      <c r="I15" s="2" t="n"/>
      <c r="J15" s="2" t="n"/>
    </row>
    <row r="16" ht="18" customHeight="1">
      <c r="A16" s="2" t="n"/>
      <c r="B16" s="2" t="n"/>
      <c r="C16" s="2" t="n"/>
      <c r="D16" s="2" t="n"/>
      <c r="E16" s="2" t="n"/>
      <c r="F16" s="2" t="n"/>
      <c r="G16" s="2" t="n"/>
      <c r="H16" s="2" t="n"/>
      <c r="I16" s="2" t="n"/>
      <c r="J16" s="2" t="n"/>
    </row>
    <row r="17" ht="18" customHeight="1">
      <c r="A17" s="2" t="n"/>
      <c r="B17" s="2" t="n"/>
      <c r="C17" s="2" t="n"/>
      <c r="D17" s="2" t="n"/>
      <c r="E17" s="2" t="n"/>
      <c r="F17" s="2" t="n"/>
      <c r="G17" s="2" t="n"/>
      <c r="H17" s="2" t="n"/>
      <c r="I17" s="2" t="n"/>
      <c r="J17" s="2" t="n"/>
    </row>
    <row r="18" ht="18" customHeight="1">
      <c r="A18" s="2" t="n"/>
      <c r="B18" s="2" t="n"/>
      <c r="C18" s="2" t="n"/>
      <c r="D18" s="2" t="n"/>
      <c r="E18" s="2" t="n"/>
      <c r="F18" s="2" t="n"/>
      <c r="G18" s="2" t="n"/>
      <c r="H18" s="2" t="n"/>
      <c r="I18" s="2" t="n"/>
      <c r="J18" s="2" t="n"/>
    </row>
    <row r="19" ht="18" customHeight="1">
      <c r="A19" s="2" t="n"/>
      <c r="B19" s="2" t="n"/>
      <c r="C19" s="2" t="n"/>
      <c r="D19" s="2" t="n"/>
      <c r="E19" s="2" t="n"/>
      <c r="F19" s="2" t="n"/>
      <c r="G19" s="2" t="n"/>
      <c r="H19" s="2" t="n"/>
      <c r="I19" s="2" t="n"/>
      <c r="J19" s="2" t="n"/>
    </row>
    <row r="20" ht="18" customHeight="1">
      <c r="A20" s="2" t="n"/>
      <c r="B20" s="2" t="n"/>
      <c r="C20" s="2" t="n"/>
      <c r="D20" s="2" t="n"/>
      <c r="E20" s="2" t="n"/>
      <c r="F20" s="2" t="n"/>
      <c r="G20" s="2" t="n"/>
      <c r="H20" s="2" t="n"/>
      <c r="I20" s="2" t="n"/>
      <c r="J20" s="2" t="n"/>
    </row>
    <row r="21" ht="18" customHeight="1">
      <c r="A21" s="2" t="n"/>
      <c r="B21" s="2" t="n"/>
      <c r="C21" s="2" t="n"/>
      <c r="D21" s="2" t="n"/>
      <c r="E21" s="2" t="n"/>
      <c r="F21" s="2" t="n"/>
      <c r="G21" s="2" t="n"/>
      <c r="H21" s="2" t="n"/>
      <c r="I21" s="2" t="n"/>
      <c r="J21" s="2" t="n"/>
    </row>
    <row r="22" ht="18" customHeight="1">
      <c r="A22" s="2" t="n"/>
      <c r="B22" s="2" t="n"/>
      <c r="C22" s="2" t="n"/>
      <c r="D22" s="2" t="n"/>
      <c r="E22" s="2" t="n"/>
      <c r="F22" s="2" t="n"/>
      <c r="G22" s="2" t="n"/>
      <c r="H22" s="2" t="n"/>
      <c r="I22" s="2" t="n"/>
      <c r="J22" s="2" t="n"/>
    </row>
    <row r="23" ht="18" customHeight="1">
      <c r="A23" s="2" t="n"/>
      <c r="B23" s="2" t="n"/>
      <c r="C23" s="2" t="n"/>
      <c r="D23" s="2" t="n"/>
      <c r="E23" s="2" t="n"/>
      <c r="F23" s="2" t="n"/>
      <c r="G23" s="2" t="n"/>
      <c r="H23" s="2" t="n"/>
      <c r="I23" s="2" t="n"/>
      <c r="J23" s="2" t="n"/>
    </row>
    <row r="24" ht="18" customHeight="1">
      <c r="A24" s="2" t="n"/>
      <c r="B24" s="2" t="n"/>
      <c r="C24" s="2" t="n"/>
      <c r="D24" s="2" t="n"/>
      <c r="E24" s="2" t="n"/>
      <c r="F24" s="2" t="n"/>
      <c r="G24" s="2" t="n"/>
      <c r="H24" s="2" t="n"/>
      <c r="I24" s="2" t="n"/>
      <c r="J24" s="2" t="n"/>
    </row>
    <row r="25" ht="18" customHeight="1">
      <c r="A25" s="2" t="n"/>
      <c r="B25" s="2" t="n"/>
      <c r="C25" s="2" t="n"/>
      <c r="D25" s="2" t="n"/>
      <c r="E25" s="2" t="n"/>
      <c r="F25" s="2" t="n"/>
      <c r="G25" s="2" t="n"/>
      <c r="H25" s="2" t="n"/>
      <c r="I25" s="2" t="n"/>
      <c r="J25" s="2" t="n"/>
    </row>
    <row r="26" ht="18" customHeight="1">
      <c r="A26" s="2" t="n"/>
      <c r="B26" s="2" t="n"/>
      <c r="C26" s="2" t="n"/>
      <c r="D26" s="2" t="n"/>
      <c r="E26" s="2" t="n"/>
      <c r="F26" s="2" t="n"/>
      <c r="G26" s="2" t="n"/>
      <c r="H26" s="2" t="n"/>
      <c r="I26" s="2" t="n"/>
      <c r="J26" s="2" t="n"/>
    </row>
    <row r="27" ht="18" customHeight="1">
      <c r="A27" s="2" t="n"/>
      <c r="B27" s="2" t="n"/>
      <c r="C27" s="2" t="n"/>
      <c r="D27" s="2" t="n"/>
      <c r="E27" s="2" t="n"/>
      <c r="F27" s="2" t="n"/>
      <c r="G27" s="2" t="n"/>
      <c r="H27" s="2" t="n"/>
      <c r="I27" s="2" t="n"/>
      <c r="J27" s="2" t="n"/>
    </row>
    <row r="28" ht="18" customHeight="1">
      <c r="A28" s="2" t="inlineStr">
        <is>
          <t>Tata CV</t>
        </is>
      </c>
      <c r="B28" s="2" t="n">
        <v>75053</v>
      </c>
      <c r="C28" s="2" t="n"/>
      <c r="D28" s="2" t="n"/>
      <c r="E28" s="2" t="n"/>
      <c r="F28" s="2" t="n"/>
      <c r="G28" s="2" t="n"/>
      <c r="H28" s="2" t="n"/>
      <c r="I28" s="2" t="n"/>
      <c r="J28" s="2" t="n"/>
    </row>
    <row r="29" ht="18" customHeight="1">
      <c r="A29" s="2" t="inlineStr">
        <is>
          <t>Tata PV</t>
        </is>
      </c>
      <c r="B29" s="2" t="n">
        <v>48445</v>
      </c>
      <c r="C29" s="2" t="n"/>
      <c r="D29" s="2" t="n"/>
      <c r="E29" s="2" t="n"/>
      <c r="F29" s="2" t="n"/>
      <c r="G29" s="2" t="n"/>
      <c r="H29" s="2" t="n"/>
      <c r="I29" s="2" t="n"/>
      <c r="J29" s="2" t="n"/>
    </row>
    <row r="30" ht="18" customHeight="1">
      <c r="A30" s="2" t="inlineStr">
        <is>
          <t>JLR £m</t>
        </is>
      </c>
      <c r="B30" s="2" t="n">
        <v>28961</v>
      </c>
      <c r="C30" s="2" t="n"/>
      <c r="D30" s="2" t="n"/>
      <c r="E30" s="2" t="n"/>
      <c r="F30" s="2" t="n"/>
      <c r="G30" s="2" t="n"/>
      <c r="H30" s="2" t="n"/>
      <c r="I30" s="2" t="n"/>
      <c r="J30" s="2" t="n"/>
    </row>
    <row r="31" ht="18" customHeight="1">
      <c r="A31" s="2" t="n"/>
      <c r="B31" s="2" t="n"/>
      <c r="C31" s="2" t="n"/>
      <c r="D31" s="2" t="n"/>
      <c r="E31" s="2" t="n"/>
      <c r="F31" s="2" t="n"/>
      <c r="G31" s="2" t="n"/>
      <c r="H31" s="2" t="n"/>
      <c r="I31" s="2" t="n"/>
      <c r="J31" s="2" t="n"/>
    </row>
    <row r="32" ht="18" customHeight="1">
      <c r="A32" s="7" t="inlineStr">
        <is>
          <t>DISCLAIMER</t>
        </is>
      </c>
      <c r="B32" s="2" t="n"/>
      <c r="C32" s="2" t="n"/>
      <c r="D32" s="2" t="n"/>
      <c r="E32" s="2" t="n"/>
      <c r="F32" s="2" t="n"/>
      <c r="G32" s="2" t="n"/>
      <c r="H32" s="2" t="n"/>
      <c r="I32" s="2" t="n"/>
      <c r="J32" s="2" t="n"/>
    </row>
    <row r="33" ht="18" customHeight="1">
      <c r="A33" s="17" t="inlineStr">
        <is>
          <t>This is an independent data analytics case study based on publicly available Tata Motors disclosures. It is not affiliated with, sponsored by, or endorsed by Tata Motors. Reported figures are distinguished from analyst calculations.</t>
        </is>
      </c>
    </row>
    <row r="34" ht="18" customHeight="1"/>
    <row r="35" ht="18" customHeight="1"/>
  </sheetData>
  <mergeCells count="15">
    <mergeCell ref="A1:J1"/>
    <mergeCell ref="A9:D9"/>
    <mergeCell ref="E4:F6"/>
    <mergeCell ref="A11:D11"/>
    <mergeCell ref="I4:J6"/>
    <mergeCell ref="A12:D12"/>
    <mergeCell ref="A4:B6"/>
    <mergeCell ref="A15:D15"/>
    <mergeCell ref="A33:J35"/>
    <mergeCell ref="C4:D6"/>
    <mergeCell ref="A2:J2"/>
    <mergeCell ref="G4:H6"/>
    <mergeCell ref="A10:D10"/>
    <mergeCell ref="A13:D13"/>
    <mergeCell ref="A14:D1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ht="18" customHeight="1">
      <c r="A1" s="8" t="inlineStr">
        <is>
          <t>Tata Motors — Consolidated Financial Performance (FY23–FY25)</t>
        </is>
      </c>
      <c r="B1" s="2" t="n"/>
      <c r="C1" s="2" t="n"/>
      <c r="D1" s="2" t="n"/>
      <c r="E1" s="2" t="n"/>
      <c r="F1" s="2" t="n"/>
      <c r="G1" s="2" t="n"/>
      <c r="H1" s="2" t="n"/>
      <c r="I1" s="2" t="n"/>
      <c r="J1" s="2" t="n"/>
      <c r="K1" s="2" t="n"/>
      <c r="L1" s="2" t="n"/>
      <c r="M1" s="2" t="n"/>
      <c r="N1" s="2" t="n"/>
      <c r="O1" s="2" t="n"/>
      <c r="P1" s="2" t="n"/>
    </row>
    <row r="2" ht="18" customHeight="1">
      <c r="A2" s="3" t="inlineStr">
        <is>
          <t>Source(s): S1/S2</t>
        </is>
      </c>
      <c r="B2" s="2" t="n"/>
      <c r="C2" s="2" t="n"/>
      <c r="D2" s="2" t="n"/>
      <c r="E2" s="2" t="n"/>
      <c r="F2" s="2" t="n"/>
      <c r="G2" s="2" t="n"/>
      <c r="H2" s="2" t="n"/>
      <c r="I2" s="2" t="n"/>
      <c r="J2" s="2" t="n"/>
      <c r="K2" s="2" t="n"/>
      <c r="L2" s="2" t="n"/>
      <c r="M2" s="2" t="n"/>
      <c r="N2" s="2" t="n"/>
      <c r="O2" s="2" t="n"/>
      <c r="P2" s="2" t="n"/>
    </row>
    <row r="3" ht="18" customHeight="1">
      <c r="A3" s="9" t="inlineStr">
        <is>
          <t>FY</t>
        </is>
      </c>
      <c r="B3" s="9" t="inlineStr">
        <is>
          <t>Revenue_INR_Cr</t>
        </is>
      </c>
      <c r="C3" s="9" t="inlineStr">
        <is>
          <t>EBITDA_Margin_pct</t>
        </is>
      </c>
      <c r="D3" s="9" t="inlineStr">
        <is>
          <t>EBIT_Margin_pct</t>
        </is>
      </c>
      <c r="E3" s="9" t="inlineStr">
        <is>
          <t>PBT_BEI_INR_Cr</t>
        </is>
      </c>
      <c r="F3" s="9" t="inlineStr">
        <is>
          <t>PAT_INR_Cr</t>
        </is>
      </c>
      <c r="G3" s="9" t="inlineStr">
        <is>
          <t>Auto_FCF_INR_Cr</t>
        </is>
      </c>
      <c r="H3" s="9" t="inlineStr">
        <is>
          <t>Net_Automotive_Debt_INR_Cr</t>
        </is>
      </c>
      <c r="I3" s="9" t="inlineStr">
        <is>
          <t>ROCE_pct</t>
        </is>
      </c>
      <c r="J3" s="9" t="inlineStr">
        <is>
          <t>EBITDA_INR_Cr</t>
        </is>
      </c>
      <c r="K3" s="9" t="inlineStr">
        <is>
          <t>Revenue_YoY_pct</t>
        </is>
      </c>
      <c r="L3" s="9" t="inlineStr">
        <is>
          <t>EBITDA_YoY_pct</t>
        </is>
      </c>
      <c r="M3" s="9" t="inlineStr">
        <is>
          <t>PBT_YoY_pct</t>
        </is>
      </c>
      <c r="N3" s="9" t="inlineStr">
        <is>
          <t>PAT_YoY_pct</t>
        </is>
      </c>
      <c r="O3" s="9" t="inlineStr">
        <is>
          <t>EBITDA_Margin_Change_bps</t>
        </is>
      </c>
      <c r="P3" s="9" t="inlineStr">
        <is>
          <t>EBIT_Margin_Change_bps</t>
        </is>
      </c>
    </row>
    <row r="4" ht="18" customHeight="1">
      <c r="A4" s="2" t="inlineStr">
        <is>
          <t>FY23</t>
        </is>
      </c>
      <c r="B4" s="2" t="n">
        <v>345967</v>
      </c>
      <c r="C4" s="2" t="n">
        <v>10.7</v>
      </c>
      <c r="D4" s="2" t="n">
        <v>3.6</v>
      </c>
      <c r="E4" s="2" t="n">
        <v>1803</v>
      </c>
      <c r="F4" s="2" t="n">
        <v>2690</v>
      </c>
      <c r="G4" s="2" t="n">
        <v>7840</v>
      </c>
      <c r="H4" s="2" t="n">
        <v>43687</v>
      </c>
      <c r="I4" s="2" t="n">
        <v>6.5</v>
      </c>
      <c r="J4" s="2" t="n">
        <v>44300</v>
      </c>
      <c r="K4" s="2" t="n"/>
      <c r="L4" s="2" t="n"/>
      <c r="M4" s="2" t="n"/>
      <c r="N4" s="2" t="n"/>
      <c r="O4" s="2" t="n"/>
      <c r="P4" s="2" t="n"/>
    </row>
    <row r="5" ht="18" customHeight="1">
      <c r="A5" s="2" t="inlineStr">
        <is>
          <t>FY24</t>
        </is>
      </c>
      <c r="B5" s="2" t="n">
        <v>434016</v>
      </c>
      <c r="C5" s="2" t="n">
        <v>14.1</v>
      </c>
      <c r="D5" s="2" t="n">
        <v>8</v>
      </c>
      <c r="E5" s="2" t="n">
        <v>29368</v>
      </c>
      <c r="F5" s="2" t="n">
        <v>31807</v>
      </c>
      <c r="G5" s="2" t="n">
        <v>26925</v>
      </c>
      <c r="H5" s="2" t="n">
        <v>16022</v>
      </c>
      <c r="I5" s="2" t="n">
        <v>18.7</v>
      </c>
      <c r="J5" s="2" t="n">
        <v>62800</v>
      </c>
      <c r="K5" s="2" t="n">
        <v>25.45011518439619</v>
      </c>
      <c r="L5" s="2" t="n">
        <v>65.31417148414285</v>
      </c>
      <c r="M5" s="2" t="n">
        <v>1528.840820854132</v>
      </c>
      <c r="N5" s="2" t="n">
        <v>1082.416356877323</v>
      </c>
      <c r="O5" s="2" t="n">
        <v>340.0000000000001</v>
      </c>
      <c r="P5" s="2" t="n">
        <v>440.0000000000001</v>
      </c>
    </row>
    <row r="6" ht="18" customHeight="1">
      <c r="A6" s="2" t="inlineStr">
        <is>
          <t>FY25</t>
        </is>
      </c>
      <c r="B6" s="2" t="n">
        <v>439695</v>
      </c>
      <c r="C6" s="2" t="n">
        <v>13.1</v>
      </c>
      <c r="D6" s="2" t="n">
        <v>7.9</v>
      </c>
      <c r="E6" s="2" t="n">
        <v>34330</v>
      </c>
      <c r="F6" s="2" t="n">
        <v>28149</v>
      </c>
      <c r="G6" s="2" t="n">
        <v>22348</v>
      </c>
      <c r="H6" s="2" t="n">
        <v>-1018</v>
      </c>
      <c r="I6" s="2" t="n">
        <v>17.6</v>
      </c>
      <c r="J6" s="2" t="n">
        <v>57600</v>
      </c>
      <c r="K6" s="2" t="n">
        <v>1.308477106834771</v>
      </c>
      <c r="L6" s="2" t="n">
        <v>-5.876201058892738</v>
      </c>
      <c r="M6" s="2" t="n">
        <v>16.89594116044675</v>
      </c>
      <c r="N6" s="2" t="n">
        <v>-11.50061307259408</v>
      </c>
      <c r="O6" s="2" t="n">
        <v>-100</v>
      </c>
      <c r="P6" s="2" t="n">
        <v>-9.999999999999964</v>
      </c>
    </row>
    <row r="7" ht="18" customHeight="1">
      <c r="A7" s="2" t="n"/>
      <c r="B7" s="2" t="n"/>
      <c r="C7" s="2" t="n"/>
      <c r="D7" s="2" t="n"/>
      <c r="E7" s="2" t="n"/>
      <c r="F7" s="2" t="n"/>
      <c r="G7" s="2" t="n"/>
      <c r="H7" s="2" t="n"/>
      <c r="I7" s="2" t="n"/>
      <c r="J7" s="2" t="n"/>
      <c r="K7" s="2" t="n"/>
      <c r="L7" s="2" t="n"/>
      <c r="M7" s="2" t="n"/>
      <c r="N7" s="2" t="n"/>
      <c r="O7" s="2" t="n"/>
      <c r="P7" s="2" t="n"/>
    </row>
    <row r="8" ht="18" customHeight="1">
      <c r="A8" s="7" t="inlineStr">
        <is>
          <t>Data note</t>
        </is>
      </c>
      <c r="B8" s="2" t="n"/>
      <c r="C8" s="2" t="n"/>
      <c r="D8" s="2" t="n"/>
      <c r="E8" s="2" t="n"/>
      <c r="F8" s="2" t="n"/>
      <c r="G8" s="2" t="n"/>
      <c r="H8" s="2" t="n"/>
      <c r="I8" s="2" t="n"/>
      <c r="J8" s="2" t="n"/>
      <c r="K8" s="2" t="n"/>
      <c r="L8" s="2" t="n"/>
      <c r="M8" s="2" t="n"/>
      <c r="N8" s="2" t="n"/>
      <c r="O8" s="2" t="n"/>
      <c r="P8" s="2" t="n"/>
    </row>
    <row r="9" ht="18" customHeight="1">
      <c r="A9" s="2" t="inlineStr">
        <is>
          <t>FY23/FY24 comparability follows Tata Motors FY25 Annual Report figures. EBITDA absolute values are derived from reported revenue × reported EBITDA margin except FY25, where Tata Motors reported ~₹57.6K Cr.</t>
        </is>
      </c>
      <c r="L9" s="2" t="n"/>
      <c r="M9" s="2" t="n"/>
      <c r="N9" s="2" t="n"/>
      <c r="O9" s="2" t="n"/>
      <c r="P9" s="2" t="n"/>
    </row>
    <row r="10" ht="18" customHeight="1">
      <c r="L10" s="2" t="n"/>
      <c r="M10" s="2" t="n"/>
      <c r="N10" s="2" t="n"/>
      <c r="O10" s="2" t="n"/>
      <c r="P10" s="2" t="n"/>
    </row>
    <row r="11" ht="18" customHeight="1">
      <c r="A11" s="2" t="inlineStr">
        <is>
          <t>FY23–FY25 revenue CAGR</t>
        </is>
      </c>
      <c r="B11" s="10" t="n">
        <v>0.1273491084046763</v>
      </c>
      <c r="C11" s="2" t="n"/>
      <c r="D11" s="2" t="n"/>
      <c r="E11" s="2" t="n"/>
      <c r="F11" s="2" t="n"/>
      <c r="G11" s="2" t="n"/>
      <c r="H11" s="2" t="n"/>
      <c r="I11" s="2" t="n"/>
      <c r="J11" s="2" t="n"/>
      <c r="K11" s="2" t="n"/>
      <c r="L11" s="2" t="n"/>
      <c r="M11" s="2" t="n"/>
      <c r="N11" s="2" t="n"/>
      <c r="O11" s="2" t="n"/>
      <c r="P11" s="2" t="n"/>
    </row>
    <row r="12">
      <c r="A12" s="18" t="inlineStr">
        <is>
          <t>Methodology note</t>
        </is>
      </c>
    </row>
    <row r="13">
      <c r="A13" s="2" t="inlineStr">
        <is>
          <t>Reported financial values are taken from Tata Motors' official FY25 Annual Report / FY25 results. EBITDA is now the reported company figure (not reverse-calculated from rounded margins). YoY and CAGR fields are mathematical calculations derived from reported values.</t>
        </is>
      </c>
    </row>
    <row r="14"/>
  </sheetData>
  <autoFilter ref="A3:P6"/>
  <mergeCells count="2">
    <mergeCell ref="A9:K10"/>
    <mergeCell ref="A13:K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18" customHeight="1">
      <c r="A1" s="9" t="inlineStr">
        <is>
          <t>FY</t>
        </is>
      </c>
      <c r="B1" s="9" t="inlineStr">
        <is>
          <t>Wholesale_Units</t>
        </is>
      </c>
      <c r="C1" s="9" t="inlineStr">
        <is>
          <t>Revenue_INR_Cr</t>
        </is>
      </c>
      <c r="D1" s="9" t="inlineStr">
        <is>
          <t>EBITDA_Margin_pct</t>
        </is>
      </c>
      <c r="E1" s="9" t="inlineStr">
        <is>
          <t>EBIT_Margin_pct</t>
        </is>
      </c>
      <c r="F1" s="9" t="inlineStr">
        <is>
          <t>PBT_BEI_INR_Cr</t>
        </is>
      </c>
      <c r="G1" s="9" t="inlineStr">
        <is>
          <t>VAHAN_Market_Share_pct</t>
        </is>
      </c>
      <c r="H1" s="9" t="inlineStr">
        <is>
          <t>EV_Penetration_pct</t>
        </is>
      </c>
      <c r="I1" s="9" t="inlineStr">
        <is>
          <t>EV_Market_Share_pct</t>
        </is>
      </c>
      <c r="J1" s="9" t="inlineStr">
        <is>
          <t>CNG_Penetration_pct</t>
        </is>
      </c>
      <c r="K1" s="9" t="inlineStr">
        <is>
          <t>CNG_Growth_pct</t>
        </is>
      </c>
      <c r="L1" s="9" t="inlineStr">
        <is>
          <t>Revenue_YoY_pct</t>
        </is>
      </c>
    </row>
    <row r="2" ht="18" customHeight="1">
      <c r="A2" s="3" t="inlineStr">
        <is>
          <t>Source(s): S5/S2/S3/S4</t>
        </is>
      </c>
      <c r="B2" s="2" t="n">
        <v>540965</v>
      </c>
      <c r="C2" s="2" t="n">
        <v>47868</v>
      </c>
      <c r="D2" s="11" t="n">
        <v>6.4</v>
      </c>
      <c r="E2" s="11" t="n">
        <v>1</v>
      </c>
      <c r="F2" s="2" t="n">
        <v>736</v>
      </c>
      <c r="G2" s="11" t="n">
        <v>13.5</v>
      </c>
      <c r="H2" s="11" t="n">
        <v>9</v>
      </c>
      <c r="I2" s="11" t="n"/>
      <c r="J2" s="11" t="n">
        <v>8</v>
      </c>
      <c r="K2" s="11" t="n"/>
      <c r="L2" s="11" t="n"/>
    </row>
    <row r="3" ht="18" customHeight="1">
      <c r="A3" s="2" t="inlineStr">
        <is>
          <t>FY24</t>
        </is>
      </c>
      <c r="B3" s="2" t="n">
        <v>573541</v>
      </c>
      <c r="C3" s="2" t="n">
        <v>52353</v>
      </c>
      <c r="D3" s="11" t="n">
        <v>6.5</v>
      </c>
      <c r="E3" s="11" t="n">
        <v>2</v>
      </c>
      <c r="F3" s="2" t="n">
        <v>1423</v>
      </c>
      <c r="G3" s="11" t="n">
        <v>13.9</v>
      </c>
      <c r="H3" s="11" t="n">
        <v>13</v>
      </c>
      <c r="I3" s="11" t="n">
        <v>73.09999999999999</v>
      </c>
      <c r="J3" s="11" t="n">
        <v>16</v>
      </c>
      <c r="K3" s="11" t="n"/>
      <c r="L3" s="11" t="n">
        <v>9.369516169466042</v>
      </c>
    </row>
    <row r="4" ht="18" customHeight="1">
      <c r="A4" s="2" t="inlineStr">
        <is>
          <t>FY25</t>
        </is>
      </c>
      <c r="B4" s="2" t="n">
        <v>556367</v>
      </c>
      <c r="C4" s="2" t="n">
        <v>48445</v>
      </c>
      <c r="D4" s="11" t="n">
        <v>6.9</v>
      </c>
      <c r="E4" s="11" t="n">
        <v>0.9</v>
      </c>
      <c r="F4" s="2" t="n">
        <v>1083</v>
      </c>
      <c r="G4" s="11" t="n">
        <v>13.2</v>
      </c>
      <c r="H4" s="11" t="n">
        <v>11</v>
      </c>
      <c r="I4" s="11" t="n">
        <v>55.4</v>
      </c>
      <c r="J4" s="11" t="n">
        <v>25</v>
      </c>
      <c r="K4" s="11" t="n">
        <v>53</v>
      </c>
      <c r="L4" s="11" t="n">
        <v>-7.464710713808187</v>
      </c>
    </row>
  </sheetData>
  <autoFilter ref="A1:L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18" customHeight="1">
      <c r="A1" s="9" t="inlineStr">
        <is>
          <t>FY</t>
        </is>
      </c>
      <c r="B1" s="9" t="inlineStr">
        <is>
          <t>Revenue_INR_Cr</t>
        </is>
      </c>
      <c r="C1" s="9" t="inlineStr">
        <is>
          <t>Wholesale_Units</t>
        </is>
      </c>
      <c r="D1" s="9" t="inlineStr">
        <is>
          <t>EBITDA_Margin_pct</t>
        </is>
      </c>
      <c r="E1" s="9" t="inlineStr">
        <is>
          <t>EBIT_Margin_pct</t>
        </is>
      </c>
      <c r="F1" s="9" t="inlineStr">
        <is>
          <t>PBT_BEI_INR_Cr</t>
        </is>
      </c>
      <c r="G1" s="9" t="inlineStr">
        <is>
          <t>Domestic_VAHAN_Market_Share_pct</t>
        </is>
      </c>
      <c r="H1" s="9" t="inlineStr">
        <is>
          <t>HGV_HMV_Share_pct</t>
        </is>
      </c>
      <c r="I1" s="9" t="inlineStr">
        <is>
          <t>MGV_Share_pct</t>
        </is>
      </c>
      <c r="J1" s="9" t="inlineStr">
        <is>
          <t>LGV_Share_pct</t>
        </is>
      </c>
      <c r="K1" s="9" t="inlineStr">
        <is>
          <t>CV_Passenger_Share_pct</t>
        </is>
      </c>
      <c r="L1" s="9" t="inlineStr">
        <is>
          <t>Revenue_YoY_pct</t>
        </is>
      </c>
    </row>
    <row r="2" ht="18" customHeight="1">
      <c r="A2" s="3" t="inlineStr">
        <is>
          <t>Source(s): S2/S3/S4</t>
        </is>
      </c>
      <c r="B2" s="2" t="n">
        <v>70816</v>
      </c>
      <c r="C2" s="2" t="n"/>
      <c r="D2" s="11" t="n">
        <v>7.4</v>
      </c>
      <c r="E2" s="11" t="n">
        <v>5.2</v>
      </c>
      <c r="F2" s="2" t="n">
        <v>3235</v>
      </c>
      <c r="G2" s="11" t="n">
        <v>41.7</v>
      </c>
      <c r="H2" s="11" t="n"/>
      <c r="I2" s="11" t="n"/>
      <c r="J2" s="11" t="n"/>
      <c r="K2" s="11" t="n"/>
      <c r="L2" s="11" t="n"/>
    </row>
    <row r="3" ht="18" customHeight="1">
      <c r="A3" s="2" t="inlineStr">
        <is>
          <t>FY24</t>
        </is>
      </c>
      <c r="B3" s="2" t="n">
        <v>78790</v>
      </c>
      <c r="C3" s="2" t="n">
        <v>405471</v>
      </c>
      <c r="D3" s="11" t="n">
        <v>10.8</v>
      </c>
      <c r="E3" s="11" t="n">
        <v>8.199999999999999</v>
      </c>
      <c r="F3" s="2" t="n">
        <v>6102</v>
      </c>
      <c r="G3" s="11" t="n">
        <v>39.1</v>
      </c>
      <c r="H3" s="11" t="n">
        <v>48.8</v>
      </c>
      <c r="I3" s="11" t="n">
        <v>37.5</v>
      </c>
      <c r="J3" s="11" t="n">
        <v>34.3</v>
      </c>
      <c r="K3" s="11" t="n">
        <v>35</v>
      </c>
      <c r="L3" s="11" t="n">
        <v>11.2601671938545</v>
      </c>
    </row>
    <row r="4" ht="18" customHeight="1">
      <c r="A4" s="2" t="inlineStr">
        <is>
          <t>FY25</t>
        </is>
      </c>
      <c r="B4" s="2" t="n">
        <v>75053</v>
      </c>
      <c r="C4" s="2" t="n">
        <v>384704</v>
      </c>
      <c r="D4" s="11" t="n">
        <v>11.8</v>
      </c>
      <c r="E4" s="11" t="n">
        <v>9.1</v>
      </c>
      <c r="F4" s="2" t="n">
        <v>6649</v>
      </c>
      <c r="G4" s="11" t="n">
        <v>37.1</v>
      </c>
      <c r="H4" s="11" t="n">
        <v>48.8</v>
      </c>
      <c r="I4" s="11" t="n">
        <v>37.3</v>
      </c>
      <c r="J4" s="11" t="n">
        <v>30.5</v>
      </c>
      <c r="K4" s="11" t="n">
        <v>37.6</v>
      </c>
      <c r="L4" s="11" t="n">
        <v>-4.742987688792999</v>
      </c>
    </row>
  </sheetData>
  <autoFilter ref="A1:L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18" customHeight="1">
      <c r="A1" s="9" t="inlineStr">
        <is>
          <t>FY</t>
        </is>
      </c>
      <c r="B1" s="9" t="inlineStr">
        <is>
          <t>Revenue_GBP_mn</t>
        </is>
      </c>
      <c r="C1" s="9" t="inlineStr">
        <is>
          <t>EBITDA_Margin_pct</t>
        </is>
      </c>
      <c r="D1" s="9" t="inlineStr">
        <is>
          <t>EBIT_Margin_pct</t>
        </is>
      </c>
      <c r="E1" s="9" t="inlineStr">
        <is>
          <t>PBT_BEI_GBP_mn</t>
        </is>
      </c>
      <c r="F1" s="9" t="inlineStr">
        <is>
          <t>Free_Cash_Flow_GBP_mn</t>
        </is>
      </c>
      <c r="G1" s="9" t="inlineStr">
        <is>
          <t>Wholesale_Units</t>
        </is>
      </c>
      <c r="H1" s="9" t="inlineStr">
        <is>
          <t>Net_Debt_GBP_mn</t>
        </is>
      </c>
      <c r="I1" s="9" t="inlineStr">
        <is>
          <t>Revenue_YoY_pct</t>
        </is>
      </c>
    </row>
    <row r="2" ht="18" customHeight="1">
      <c r="A2" s="3" t="inlineStr">
        <is>
          <t>Source(s): S1/S2/S3/S4/S6/S7</t>
        </is>
      </c>
      <c r="B2" s="2" t="n">
        <v>22809</v>
      </c>
      <c r="C2" s="11" t="n">
        <v>11.6</v>
      </c>
      <c r="D2" s="11" t="n">
        <v>2.4</v>
      </c>
      <c r="E2" s="2" t="n">
        <v>-64</v>
      </c>
      <c r="F2" s="2" t="n">
        <v>521</v>
      </c>
      <c r="G2" s="2" t="n">
        <v>321362</v>
      </c>
      <c r="H2" s="2" t="n">
        <v>3000</v>
      </c>
      <c r="I2" s="11" t="n"/>
    </row>
    <row r="3" ht="18" customHeight="1">
      <c r="A3" s="2" t="inlineStr">
        <is>
          <t>FY24</t>
        </is>
      </c>
      <c r="B3" s="2" t="n">
        <v>28995</v>
      </c>
      <c r="C3" s="11" t="n">
        <v>15.9</v>
      </c>
      <c r="D3" s="11" t="n">
        <v>8.5</v>
      </c>
      <c r="E3" s="2" t="n">
        <v>2165</v>
      </c>
      <c r="F3" s="2" t="n">
        <v>2269</v>
      </c>
      <c r="G3" s="2" t="n">
        <v>401303</v>
      </c>
      <c r="H3" s="2" t="n">
        <v>700</v>
      </c>
      <c r="I3" s="11" t="n">
        <v>27.12087333947126</v>
      </c>
    </row>
    <row r="4" ht="18" customHeight="1">
      <c r="A4" s="2" t="inlineStr">
        <is>
          <t>FY25</t>
        </is>
      </c>
      <c r="B4" s="2" t="n">
        <v>28961</v>
      </c>
      <c r="C4" s="11" t="n">
        <v>14.3</v>
      </c>
      <c r="D4" s="11" t="n">
        <v>8.5</v>
      </c>
      <c r="E4" s="2" t="n">
        <v>2489</v>
      </c>
      <c r="F4" s="2" t="n">
        <v>1478</v>
      </c>
      <c r="G4" s="2" t="n">
        <v>400898</v>
      </c>
      <c r="H4" s="2" t="n">
        <v>-278</v>
      </c>
      <c r="I4" s="11" t="n">
        <v>-0.1172615968270341</v>
      </c>
    </row>
  </sheetData>
  <autoFilter ref="A1:I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ht="18" customHeight="1">
      <c r="A1" s="8" t="inlineStr">
        <is>
          <t>Calculated Trend Analysis</t>
        </is>
      </c>
      <c r="B1" s="2" t="n"/>
      <c r="C1" s="2" t="n"/>
    </row>
    <row r="2" ht="18" customHeight="1">
      <c r="A2" s="2" t="n"/>
      <c r="B2" s="2" t="n"/>
      <c r="C2" s="2" t="n"/>
    </row>
    <row r="3" ht="18" customHeight="1">
      <c r="A3" s="9" t="inlineStr">
        <is>
          <t>Metric</t>
        </is>
      </c>
      <c r="B3" s="9" t="inlineStr">
        <is>
          <t>FY24_vs_FY23_pct</t>
        </is>
      </c>
      <c r="C3" s="9" t="inlineStr">
        <is>
          <t>FY25_vs_FY24_pct</t>
        </is>
      </c>
    </row>
    <row r="4" ht="18" customHeight="1">
      <c r="A4" s="2" t="inlineStr">
        <is>
          <t>Consolidated Revenue</t>
        </is>
      </c>
      <c r="B4" s="10" t="n">
        <v>25.45011518439619</v>
      </c>
      <c r="C4" s="10" t="n">
        <v>1.308477106834771</v>
      </c>
    </row>
    <row r="5" ht="18" customHeight="1">
      <c r="A5" s="2" t="inlineStr">
        <is>
          <t>Consolidated EBITDA</t>
        </is>
      </c>
      <c r="B5" s="10" t="n">
        <v>65.31417148414285</v>
      </c>
      <c r="C5" s="10" t="n">
        <v>-5.876201058892738</v>
      </c>
    </row>
    <row r="6" ht="18" customHeight="1">
      <c r="A6" s="2" t="inlineStr">
        <is>
          <t>Consolidated PBT (BEI)</t>
        </is>
      </c>
      <c r="B6" s="10" t="n">
        <v>1528.840820854132</v>
      </c>
      <c r="C6" s="10" t="n">
        <v>16.89594116044675</v>
      </c>
    </row>
    <row r="7" ht="18" customHeight="1">
      <c r="A7" s="2" t="inlineStr">
        <is>
          <t>Consolidated PAT</t>
        </is>
      </c>
      <c r="B7" s="10" t="n">
        <v>1082.416356877323</v>
      </c>
      <c r="C7" s="10" t="n">
        <v>-11.50061307259408</v>
      </c>
    </row>
    <row r="8" ht="18" customHeight="1">
      <c r="A8" s="2" t="inlineStr">
        <is>
          <t>PV Revenue</t>
        </is>
      </c>
      <c r="B8" s="10" t="n">
        <v>9.369516169466042</v>
      </c>
      <c r="C8" s="10" t="n">
        <v>-7.464710713808187</v>
      </c>
    </row>
    <row r="9" ht="18" customHeight="1">
      <c r="A9" s="2" t="inlineStr">
        <is>
          <t>CV Revenue</t>
        </is>
      </c>
      <c r="B9" s="10" t="n">
        <v>11.2601671938545</v>
      </c>
      <c r="C9" s="10" t="n">
        <v>-4.742987688792999</v>
      </c>
    </row>
    <row r="10" ht="18" customHeight="1">
      <c r="A10" s="2" t="inlineStr">
        <is>
          <t>JLR Revenue</t>
        </is>
      </c>
      <c r="B10" s="10" t="n">
        <v>27.12087333947126</v>
      </c>
      <c r="C10" s="10" t="n">
        <v>-0.1172615968270341</v>
      </c>
    </row>
    <row r="11" ht="18" customHeight="1">
      <c r="A11" s="2" t="n"/>
      <c r="B11" s="2" t="n"/>
      <c r="C11" s="2" t="n"/>
    </row>
    <row r="12" ht="18" customHeight="1">
      <c r="A12" s="2" t="n"/>
      <c r="B12" s="2" t="n"/>
      <c r="C12" s="2" t="n"/>
    </row>
    <row r="13" ht="18" customHeight="1">
      <c r="A13" s="7" t="inlineStr">
        <is>
          <t>Interpretation</t>
        </is>
      </c>
      <c r="B13" s="2" t="n"/>
      <c r="C13" s="2" t="n"/>
    </row>
    <row r="14" ht="18" customHeight="1">
      <c r="A14" s="2" t="inlineStr">
        <is>
          <t>FY25 revenue grew modestly at consolidated level, while PBT (BEI) increased materially. PV and CV revenues declined YoY in FY25, while their reported EBITDA margins improved.</t>
        </is>
      </c>
    </row>
    <row r="15" ht="18" customHeight="1"/>
  </sheetData>
  <autoFilter ref="A3:C10"/>
  <mergeCells count="1">
    <mergeCell ref="A14:C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showGridLines="0" workbookViewId="0">
      <pane ySplit="11" topLeftCell="A1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18" customHeight="1">
      <c r="A1" s="8" t="inlineStr">
        <is>
          <t>Chart Data &amp; Definitions</t>
        </is>
      </c>
      <c r="B1" s="2" t="n"/>
      <c r="C1" s="2" t="n"/>
      <c r="D1" s="2" t="n"/>
      <c r="E1" s="2" t="n"/>
      <c r="F1" s="2" t="n"/>
      <c r="G1" s="2" t="n"/>
    </row>
    <row r="2" ht="18" customHeight="1">
      <c r="A2" s="2" t="n"/>
      <c r="B2" s="2" t="n"/>
      <c r="C2" s="2" t="n"/>
      <c r="D2" s="2" t="n"/>
      <c r="E2" s="2" t="n"/>
      <c r="F2" s="2" t="n"/>
      <c r="G2" s="2" t="n"/>
    </row>
    <row r="3" ht="18" customHeight="1">
      <c r="A3" s="9" t="inlineStr">
        <is>
          <t>FY</t>
        </is>
      </c>
      <c r="B3" s="9" t="inlineStr">
        <is>
          <t>Revenue_INR_Cr</t>
        </is>
      </c>
      <c r="C3" s="9" t="inlineStr">
        <is>
          <t>EBITDA_Margin_pct</t>
        </is>
      </c>
      <c r="D3" s="9" t="inlineStr">
        <is>
          <t>EBIT_Margin_pct</t>
        </is>
      </c>
      <c r="E3" s="9" t="inlineStr">
        <is>
          <t>PBT_BEI_INR_Cr</t>
        </is>
      </c>
      <c r="F3" s="9" t="inlineStr">
        <is>
          <t>PAT_INR_Cr</t>
        </is>
      </c>
      <c r="G3" s="9" t="inlineStr">
        <is>
          <t>Auto_FCF_INR_Cr</t>
        </is>
      </c>
    </row>
    <row r="4" ht="18" customHeight="1">
      <c r="A4" s="2" t="inlineStr">
        <is>
          <t>FY23</t>
        </is>
      </c>
      <c r="B4" s="2" t="n">
        <v>345967</v>
      </c>
      <c r="C4" s="2" t="n">
        <v>10.7</v>
      </c>
      <c r="D4" s="2" t="n">
        <v>3.6</v>
      </c>
      <c r="E4" s="2" t="n">
        <v>1803</v>
      </c>
      <c r="F4" s="2" t="n">
        <v>2690</v>
      </c>
      <c r="G4" s="2" t="n">
        <v>7840</v>
      </c>
    </row>
    <row r="5" ht="18" customHeight="1">
      <c r="A5" s="2" t="inlineStr">
        <is>
          <t>FY24</t>
        </is>
      </c>
      <c r="B5" s="2" t="n">
        <v>434016</v>
      </c>
      <c r="C5" s="2" t="n">
        <v>14.1</v>
      </c>
      <c r="D5" s="2" t="n">
        <v>8</v>
      </c>
      <c r="E5" s="2" t="n">
        <v>29368</v>
      </c>
      <c r="F5" s="2" t="n">
        <v>31807</v>
      </c>
      <c r="G5" s="2" t="n">
        <v>26925</v>
      </c>
    </row>
    <row r="6" ht="18" customHeight="1">
      <c r="A6" s="2" t="inlineStr">
        <is>
          <t>FY25</t>
        </is>
      </c>
      <c r="B6" s="2" t="n">
        <v>439695</v>
      </c>
      <c r="C6" s="2" t="n">
        <v>13.1</v>
      </c>
      <c r="D6" s="2" t="n">
        <v>7.9</v>
      </c>
      <c r="E6" s="2" t="n">
        <v>34330</v>
      </c>
      <c r="F6" s="2" t="n">
        <v>28149</v>
      </c>
      <c r="G6" s="2" t="n">
        <v>22348</v>
      </c>
    </row>
    <row r="7" ht="18" customHeight="1">
      <c r="A7" s="2" t="n"/>
      <c r="B7" s="2" t="n"/>
      <c r="C7" s="2" t="n"/>
      <c r="D7" s="2" t="n"/>
      <c r="E7" s="2" t="n"/>
      <c r="F7" s="2" t="n"/>
      <c r="G7" s="2" t="n"/>
    </row>
    <row r="8" ht="18" customHeight="1">
      <c r="A8" s="2" t="n"/>
      <c r="B8" s="2" t="n"/>
      <c r="C8" s="2" t="n"/>
      <c r="D8" s="2" t="n"/>
      <c r="E8" s="2" t="n"/>
      <c r="F8" s="2" t="n"/>
      <c r="G8" s="2" t="n"/>
    </row>
    <row r="9" ht="18" customHeight="1">
      <c r="A9" s="2" t="n"/>
      <c r="B9" s="2" t="n"/>
      <c r="C9" s="2" t="n"/>
      <c r="D9" s="2" t="n"/>
      <c r="E9" s="2" t="n"/>
      <c r="F9" s="2" t="n"/>
      <c r="G9" s="2" t="n"/>
    </row>
    <row r="10" ht="18" customHeight="1">
      <c r="A10" s="7" t="inlineStr">
        <is>
          <t>Segment FY25 reference values</t>
        </is>
      </c>
      <c r="B10" s="2" t="n"/>
      <c r="C10" s="2" t="n"/>
      <c r="D10" s="2" t="n"/>
      <c r="E10" s="2" t="n"/>
      <c r="F10" s="2" t="n"/>
      <c r="G10" s="2" t="n"/>
    </row>
    <row r="11" ht="18" customHeight="1">
      <c r="A11" s="9" t="inlineStr">
        <is>
          <t>Segment</t>
        </is>
      </c>
      <c r="B11" s="9" t="inlineStr">
        <is>
          <t>FY25 Revenue</t>
        </is>
      </c>
      <c r="C11" s="9" t="inlineStr">
        <is>
          <t>FY25 EBITDA Margin</t>
        </is>
      </c>
      <c r="D11" s="9" t="inlineStr">
        <is>
          <t>FY25 EBIT Margin</t>
        </is>
      </c>
      <c r="E11" s="2" t="n"/>
      <c r="F11" s="2" t="n"/>
      <c r="G11" s="2" t="n"/>
    </row>
    <row r="12" ht="18" customHeight="1">
      <c r="A12" s="2" t="inlineStr">
        <is>
          <t>Tata Commercial Vehicles</t>
        </is>
      </c>
      <c r="B12" s="2" t="inlineStr">
        <is>
          <t>₹75,053 Cr</t>
        </is>
      </c>
      <c r="C12" s="2" t="n">
        <v>11.8</v>
      </c>
      <c r="D12" s="2" t="n">
        <v>9.1</v>
      </c>
      <c r="E12" s="2" t="n"/>
      <c r="F12" s="2" t="n"/>
      <c r="G12" s="2" t="n"/>
    </row>
    <row r="13" ht="18" customHeight="1">
      <c r="A13" s="2" t="inlineStr">
        <is>
          <t>Tata Passenger Vehicles</t>
        </is>
      </c>
      <c r="B13" s="2" t="inlineStr">
        <is>
          <t>₹48,445 Cr</t>
        </is>
      </c>
      <c r="C13" s="2" t="n">
        <v>6.9</v>
      </c>
      <c r="D13" s="2" t="n">
        <v>0.9</v>
      </c>
      <c r="E13" s="2" t="n"/>
      <c r="F13" s="2" t="n"/>
      <c r="G13" s="2" t="n"/>
    </row>
    <row r="14" ht="18" customHeight="1">
      <c r="A14" s="2" t="inlineStr">
        <is>
          <t>JLR</t>
        </is>
      </c>
      <c r="B14" s="2" t="inlineStr">
        <is>
          <t>£28,961m</t>
        </is>
      </c>
      <c r="C14" s="2" t="n">
        <v>14.3</v>
      </c>
      <c r="D14" s="2" t="n">
        <v>8.5</v>
      </c>
      <c r="E14" s="2" t="n"/>
      <c r="F14" s="2" t="n"/>
      <c r="G14" s="2" t="n"/>
    </row>
  </sheetData>
  <autoFilter ref="A11:D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8" customWidth="1" min="1" max="1"/>
    <col width="42" customWidth="1" min="2" max="2"/>
    <col width="15" customWidth="1" min="3" max="3"/>
    <col width="70" customWidth="1" min="4" max="4"/>
    <col width="48" customWidth="1" min="5" max="5"/>
    <col width="32" customWidth="1" min="6" max="6"/>
    <col width="25" customWidth="1" min="7" max="7"/>
  </cols>
  <sheetData>
    <row r="1" ht="18" customHeight="1">
      <c r="A1" s="9" t="inlineStr">
        <is>
          <t>S1</t>
        </is>
      </c>
      <c r="B1" s="9" t="inlineStr">
        <is>
          <t>Tata Motors 80th Integrated Annual Report 2024-25</t>
        </is>
      </c>
      <c r="C1" s="9" t="inlineStr">
        <is>
          <t>2025</t>
        </is>
      </c>
      <c r="D1" s="9" t="inlineStr">
        <is>
          <t>https://www.tatamotors.com/wp-content/uploads/2024/05/tata-motor-IAR-2024-25.pdf</t>
        </is>
      </c>
      <c r="E1" s="9" t="inlineStr">
        <is>
          <t>Consolidated FY23-FY25 financial highlights; JLR FY25 metrics</t>
        </is>
      </c>
      <c r="F1" s="9" t="inlineStr">
        <is>
          <t>Financial highlights; JLR performance</t>
        </is>
      </c>
      <c r="G1" s="9" t="n"/>
    </row>
    <row r="2" ht="18" customHeight="1">
      <c r="A2" s="2" t="inlineStr">
        <is>
          <t>S2</t>
        </is>
      </c>
      <c r="B2" s="2" t="inlineStr">
        <is>
          <t>Tata Motors Consolidated Q4 FY25 Results</t>
        </is>
      </c>
      <c r="C2" s="2" t="inlineStr">
        <is>
          <t>2025-05-13</t>
        </is>
      </c>
      <c r="D2" s="2" t="inlineStr">
        <is>
          <t>https://www.tatamotors.com/wp-content/uploads/2024/05/tata-motor-IAR-2024-25.pdf</t>
        </is>
      </c>
      <c r="E2" s="2" t="inlineStr">
        <is>
          <t>FY25 consolidated, JLR, CV, PV results; Auto FCF</t>
        </is>
      </c>
      <c r="F2" s="2" t="inlineStr">
        <is>
          <t>FY25 full-year results</t>
        </is>
      </c>
      <c r="G2" s="2" t="n"/>
    </row>
    <row r="3" ht="18" customHeight="1">
      <c r="A3" s="2" t="inlineStr">
        <is>
          <t>S3</t>
        </is>
      </c>
      <c r="B3" s="2" t="inlineStr">
        <is>
          <t>Tata Motors Consolidated Q4 FY24 Results</t>
        </is>
      </c>
      <c r="C3" s="2" t="inlineStr">
        <is>
          <t>2024-05-10</t>
        </is>
      </c>
      <c r="D3" s="2" t="inlineStr">
        <is>
          <t>https://www.tatamotors.com/press-releases/tata-motors-consolidated-q4-fy25-results/</t>
        </is>
      </c>
      <c r="E3" s="2" t="inlineStr">
        <is>
          <t>FY24 segment financials, JLR FCF, PV/CV market metrics</t>
        </is>
      </c>
      <c r="F3" s="2" t="inlineStr">
        <is>
          <t>FY24 full-year results</t>
        </is>
      </c>
      <c r="G3" s="2" t="n"/>
    </row>
    <row r="4" ht="18" customHeight="1">
      <c r="A4" s="2" t="inlineStr">
        <is>
          <t>S4</t>
        </is>
      </c>
      <c r="B4" s="2" t="inlineStr">
        <is>
          <t>Tata Motors Consolidated Q4 FY23 Results</t>
        </is>
      </c>
      <c r="C4" s="2" t="inlineStr">
        <is>
          <t>2023-05-12</t>
        </is>
      </c>
      <c r="D4" s="2" t="inlineStr">
        <is>
          <t>https://www.tatamotors.com/press-releases/tata-motors-consolidated-q4-fy24-results/</t>
        </is>
      </c>
      <c r="E4" s="2" t="inlineStr">
        <is>
          <t>FY23 segment financials, JLR wholesales/FCF, CV market share</t>
        </is>
      </c>
      <c r="F4" s="2" t="inlineStr">
        <is>
          <t>FY23 full-year results</t>
        </is>
      </c>
      <c r="G4" s="2" t="n"/>
    </row>
    <row r="5" ht="18" customHeight="1">
      <c r="A5" s="2" t="inlineStr">
        <is>
          <t>S5</t>
        </is>
      </c>
      <c r="B5" s="2" t="inlineStr">
        <is>
          <t>Tata Motors Corporate Presentation 2025 — Passenger Vehicles</t>
        </is>
      </c>
      <c r="C5" s="2" t="inlineStr">
        <is>
          <t>2025</t>
        </is>
      </c>
      <c r="D5" s="2" t="inlineStr">
        <is>
          <t>https://www.tatamotors.com/press-releases/tata-motors-consolidated-q4-fy23-results-revenue-%E2%82%B9105-9k-cr-ebitda-at-%E2%82%B914-1k-cr-pbt-bei-%E2%82%B95-0k-cr-auto-fcf-%E2%82%B911-3k-cr/</t>
        </is>
      </c>
      <c r="E5" s="2" t="inlineStr">
        <is>
          <t>PV FY23-FY25 revenue, volumes, margins, market share</t>
        </is>
      </c>
      <c r="F5" s="2" t="inlineStr">
        <is>
          <t>Passenger Vehicles section</t>
        </is>
      </c>
      <c r="G5" s="2" t="n"/>
    </row>
    <row r="6" ht="18" customHeight="1">
      <c r="A6" s="2" t="inlineStr">
        <is>
          <t>S6</t>
        </is>
      </c>
      <c r="B6" s="2" t="inlineStr">
        <is>
          <t>JLR FY25 Sales Release</t>
        </is>
      </c>
      <c r="C6" s="2" t="inlineStr">
        <is>
          <t>2025-04-07</t>
        </is>
      </c>
      <c r="D6" s="2" t="inlineStr">
        <is>
          <t>https://www.tatamotors.com/wp-content/uploads/2025/08/Tata-Motors-Corporate-Presentation-2025-Final.pdf</t>
        </is>
      </c>
      <c r="E6" s="2" t="inlineStr">
        <is>
          <t>FY25 JLR wholesale and retail volumes, model mix</t>
        </is>
      </c>
      <c r="F6" s="2" t="inlineStr">
        <is>
          <t>FY25 sales release</t>
        </is>
      </c>
      <c r="G6" s="2" t="n"/>
    </row>
    <row r="7" ht="18" customHeight="1">
      <c r="A7" s="2" t="inlineStr">
        <is>
          <t>S7</t>
        </is>
      </c>
      <c r="B7" s="2" t="inlineStr">
        <is>
          <t>JLR FY24 Sales Release</t>
        </is>
      </c>
      <c r="C7" s="2" t="inlineStr">
        <is>
          <t>2024-04-08</t>
        </is>
      </c>
      <c r="D7" s="2" t="inlineStr">
        <is>
          <t>https://static-assets.tatamotors.com/Production/www-tatamotors-com-NEW/wp-content/uploads/2024/04/JLR-global-sales-Q4-FY24.pdf</t>
        </is>
      </c>
      <c r="E7" s="2" t="inlineStr">
        <is>
          <t>FY24 JLR wholesale/retail volumes</t>
        </is>
      </c>
      <c r="F7" s="2" t="inlineStr">
        <is>
          <t>FY24 sales release</t>
        </is>
      </c>
      <c r="G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2026-09-16T04:07:06Z</dcterms:created>
  <dcterms:modified xmlns:dcterms="http://purl.org/dc/terms/" xmlns:xsi="http://www.w3.org/2001/XMLSchema-instance" xsi:type="dcterms:W3CDTF">2026-09-16T04:09:00Z</dcterms:modified>
</cp:coreProperties>
</file>